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aya dasar" sheetId="1" state="visible" r:id="rId3"/>
    <sheet name="Daftar risiko" sheetId="2" state="visible" r:id="rId4"/>
    <sheet name="Anggaran tota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1" authorId="0">
      <text>
        <r>
          <rPr>
            <sz val="10"/>
            <rFont val="Arial"/>
            <family val="2"/>
          </rPr>
          <t xml:space="preserve">DN20 lebih murah Rp50.000 dari DN25; DN15 + strainer kecil lebih murah Rp1.100.000 dari DN40. Angka masukan dari pengusul.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5% dipakai untuk proyek kecil dengan risiko yang sudah dirinci; 10% bila lokasi belum disurvei. Masukan dari pengusul.</t>
        </r>
      </text>
    </comment>
  </commentList>
</comments>
</file>

<file path=xl/sharedStrings.xml><?xml version="1.0" encoding="utf-8"?>
<sst xmlns="http://schemas.openxmlformats.org/spreadsheetml/2006/main" count="139" uniqueCount="129">
  <si>
    <t xml:space="preserve">Biaya dasar (estimasi bottom-up) per lokasi</t>
  </si>
  <si>
    <t xml:space="preserve">Sel biru = angka masukan yang boleh diubah; sel hitam = rumus. Harga marketplace Indonesia, Oktober 2026.</t>
  </si>
  <si>
    <t xml:space="preserve">No</t>
  </si>
  <si>
    <t xml:space="preserve">Komponen per lokasi</t>
  </si>
  <si>
    <t xml:space="preserve">Spesifikasi</t>
  </si>
  <si>
    <t xml:space="preserve">Jml</t>
  </si>
  <si>
    <t xml:space="preserve">Harga satuan (Rp)</t>
  </si>
  <si>
    <t xml:space="preserve">Subtotal (Rp)</t>
  </si>
  <si>
    <t xml:space="preserve">Water meter keluar multi-jet kuningan</t>
  </si>
  <si>
    <t xml:space="preserve">DN40 kelas B + modul pulsa 10 L</t>
  </si>
  <si>
    <t xml:space="preserve">Water meter masuk multi-jet kuningan</t>
  </si>
  <si>
    <t xml:space="preserve">DN20/DN25 kelas B + modul pulsa 10 L</t>
  </si>
  <si>
    <t xml:space="preserve">Strainer Y kuningan</t>
  </si>
  <si>
    <t xml:space="preserve">1,5 inci</t>
  </si>
  <si>
    <t xml:space="preserve">Sensor level tekanan hidrostatik</t>
  </si>
  <si>
    <t xml:space="preserve">0–2 mH2O, 4–20 mA, tee dan shunt</t>
  </si>
  <si>
    <t xml:space="preserve">Fitting, union, tee, seal tape, lem</t>
  </si>
  <si>
    <t xml:space="preserve">ESP32 DevKit V1</t>
  </si>
  <si>
    <t xml:space="preserve">Modul 4G SIM7600 dan antena</t>
  </si>
  <si>
    <t xml:space="preserve">Kartu SIM IM3</t>
  </si>
  <si>
    <t xml:space="preserve">paket 1 GB</t>
  </si>
  <si>
    <t xml:space="preserve">Modul RTC DS3231 dan microSD 8 GB</t>
  </si>
  <si>
    <t xml:space="preserve">PCB, resistor, kapasitor, terminal</t>
  </si>
  <si>
    <t xml:space="preserve">Adaptor 12 V, charger, aki 7 Ah, 2 step-down</t>
  </si>
  <si>
    <t xml:space="preserve">catu daya PLN + cadangan</t>
  </si>
  <si>
    <t xml:space="preserve">Box IP65, kabel, klem</t>
  </si>
  <si>
    <t xml:space="preserve">Jasa tukang pipa</t>
  </si>
  <si>
    <t xml:space="preserve">tarif rencana per lokasi</t>
  </si>
  <si>
    <t xml:space="preserve">Per lokasi dengan keluaran DN40</t>
  </si>
  <si>
    <t xml:space="preserve">Lokasi</t>
  </si>
  <si>
    <t xml:space="preserve">Meter keluar</t>
  </si>
  <si>
    <t xml:space="preserve">Meter masuk</t>
  </si>
  <si>
    <t xml:space="preserve">Penyesuaian (Rp)</t>
  </si>
  <si>
    <t xml:space="preserve">Biaya lokasi (Rp)</t>
  </si>
  <si>
    <t xml:space="preserve">Mander, Tambakboyo</t>
  </si>
  <si>
    <t xml:space="preserve">DN40</t>
  </si>
  <si>
    <t xml:space="preserve">DN20</t>
  </si>
  <si>
    <t xml:space="preserve">Bader, Jatirogo</t>
  </si>
  <si>
    <t xml:space="preserve">DN25</t>
  </si>
  <si>
    <t xml:space="preserve">Tuwiri Kulon, Merakurak</t>
  </si>
  <si>
    <t xml:space="preserve">DN15</t>
  </si>
  <si>
    <t xml:space="preserve">Kabluan, Bangilan</t>
  </si>
  <si>
    <t xml:space="preserve">Ngulahan, Tambakboyo</t>
  </si>
  <si>
    <t xml:space="preserve">Lima lokasi</t>
  </si>
  <si>
    <t xml:space="preserve">Perjalanan tim Surabaya–Tuban</t>
  </si>
  <si>
    <t xml:space="preserve">3 kunjungan × 5 desa</t>
  </si>
  <si>
    <t xml:space="preserve">Cadangan komponen (mitigasi)</t>
  </si>
  <si>
    <t xml:space="preserve">1 sensor level, 1 modul 4G, 1 ESP32</t>
  </si>
  <si>
    <t xml:space="preserve">BIAYA DASAR (cost estimate)</t>
  </si>
  <si>
    <t xml:space="preserve">Daftar risiko dan cadangan risiko (contingency reserve) — nilai harapan = peluang × dampak biaya</t>
  </si>
  <si>
    <t xml:space="preserve">Ubah sel biru (peluang dan dampak) sesuai kondisi lapangan. Dampak = biaya tambahan bila risiko terjadi, dihitung dari rumus di kolom Cara menghitung dampak.</t>
  </si>
  <si>
    <t xml:space="preserve">ID</t>
  </si>
  <si>
    <t xml:space="preserve">Risiko</t>
  </si>
  <si>
    <t xml:space="preserve">Pemicu / sumber</t>
  </si>
  <si>
    <t xml:space="preserve">Cara menghitung dampak</t>
  </si>
  <si>
    <t xml:space="preserve">Peluang</t>
  </si>
  <si>
    <t xml:space="preserve">Dampak biaya (Rp)</t>
  </si>
  <si>
    <t xml:space="preserve">Nilai harapan (Rp)</t>
  </si>
  <si>
    <t xml:space="preserve">Dampak jadwal (hari)</t>
  </si>
  <si>
    <t xml:space="preserve">Mitigasi (dicantumkan dalam biaya dasar atau rencana)</t>
  </si>
  <si>
    <t xml:space="preserve">R1</t>
  </si>
  <si>
    <t xml:space="preserve">Komponen terlambat datang (water meter, sensor level, modul 4G)</t>
  </si>
  <si>
    <t xml:space="preserve">Stok penjual kosong, pengiriman impor 2–4 minggu</t>
  </si>
  <si>
    <t xml:space="preserve">Satu kunjungan tambahan untuk memasang komponen yang tertinggal: 1 × biaya kunjungan</t>
  </si>
  <si>
    <t xml:space="preserve">Pesan di minggu ke-2, pilih penjual stok siap, cadangan 1 unit sensor dan modul</t>
  </si>
  <si>
    <t xml:space="preserve">R2</t>
  </si>
  <si>
    <t xml:space="preserve">Komponen rusak saat datang atau saat uji (DOA)</t>
  </si>
  <si>
    <t xml:space="preserve">Sensor level, modul 4G</t>
  </si>
  <si>
    <t xml:space="preserve">Harga pengganti + ongkir kilat: 500.000 + 100.000</t>
  </si>
  <si>
    <t xml:space="preserve">Uji semua komponen di lab sebelum berangkat; cadangan 1 unit</t>
  </si>
  <si>
    <t xml:space="preserve">R3</t>
  </si>
  <si>
    <t xml:space="preserve">Tukang pipa tidak hadir saat pemasangan, pengganti lokal lebih mahal</t>
  </si>
  <si>
    <t xml:space="preserve">Pelanggaran kehadiran, 2 kunjungan pemasangan</t>
  </si>
  <si>
    <t xml:space="preserve">Selisih tarif pengganti (450.000 − 250.000) + setengah hari tim menunggu (200.000), per kunjungan; 2 kunjungan</t>
  </si>
  <si>
    <t xml:space="preserve">Kontrak dengan uang muka, dua kontak tukang per desa, konfirmasi H-1</t>
  </si>
  <si>
    <t xml:space="preserve">R4</t>
  </si>
  <si>
    <t xml:space="preserve">Anggota tim mahasiswa tidak hadir atau mengundurkan diri</t>
  </si>
  <si>
    <t xml:space="preserve">Jadwal kuliah, sakit, pelanggaran kehadiran</t>
  </si>
  <si>
    <t xml:space="preserve">Honor asisten lapangan pengganti 1 kunjungan 500.000 + lembur perakitan 250.000</t>
  </si>
  <si>
    <t xml:space="preserve">Tim 4 orang untuk kebutuhan 3; jadwal pemasangan di luar minggu ujian</t>
  </si>
  <si>
    <t xml:space="preserve">R5</t>
  </si>
  <si>
    <t xml:space="preserve">Sinyal IM3 lemah di salah satu rumah pompa</t>
  </si>
  <si>
    <t xml:space="preserve">Lokasi di lembah atau jauh dari BTS</t>
  </si>
  <si>
    <t xml:space="preserve">Antena eksternal + kabel 200.000 + kunjungan ulang sebagian 500.000</t>
  </si>
  <si>
    <t xml:space="preserve">Cek sinyal saat survei; bawa antena cadangan saat pemasangan</t>
  </si>
  <si>
    <t xml:space="preserve">R6</t>
  </si>
  <si>
    <t xml:space="preserve">Ukuran pipa di lapangan berbeda dari catatan survei</t>
  </si>
  <si>
    <t xml:space="preserve">Catatan survei keliru, pipa sudah diganti</t>
  </si>
  <si>
    <t xml:space="preserve">Beli ulang satu meter + modul pulsa 1.200.000</t>
  </si>
  <si>
    <t xml:space="preserve">Ukur ulang dan foto pipa saat survei; beli meter setelah survei</t>
  </si>
  <si>
    <t xml:space="preserve">R7</t>
  </si>
  <si>
    <t xml:space="preserve">Kenaikan harga komponen atau ongkos kirim</t>
  </si>
  <si>
    <t xml:space="preserve">Kurs, harga marketplace berubah</t>
  </si>
  <si>
    <t xml:space="preserve">10% dari 60% komponen yang belum terbeli: 0,1 × 0,6 × 20.000.000</t>
  </si>
  <si>
    <t xml:space="preserve">Beli komponen utama di minggu pertama setelah dana cair</t>
  </si>
  <si>
    <t xml:space="preserve">R8</t>
  </si>
  <si>
    <t xml:space="preserve">Akses lokasi tertunda (izin desa, hujan, jalan rusak)</t>
  </si>
  <si>
    <t xml:space="preserve">Musim hujan November–Januari di Tuban</t>
  </si>
  <si>
    <t xml:space="preserve">Satu kunjungan ulang 1.500.000</t>
  </si>
  <si>
    <t xml:space="preserve">Koordinasi dengan kepala desa sebelum berangkat; pemasangan 3 lokasi per kunjungan</t>
  </si>
  <si>
    <t xml:space="preserve">R9</t>
  </si>
  <si>
    <t xml:space="preserve">Kalibrasi level gagal, sensor tidak cocok dengan nipel toren</t>
  </si>
  <si>
    <t xml:space="preserve">Ulir nipel berbeda, toren tanpa nipel bawah</t>
  </si>
  <si>
    <t xml:space="preserve">Fitting adaptor 150.000 + setengah hari kerja 350.000</t>
  </si>
  <si>
    <t xml:space="preserve">Bawa set adaptor ulir ¼, ½, ¾ inci; foto nipel saat survei</t>
  </si>
  <si>
    <t xml:space="preserve">CADANGAN RISIKO (jumlah nilai harapan)</t>
  </si>
  <si>
    <t xml:space="preserve">Dampak terburuk bila semua terjadi</t>
  </si>
  <si>
    <t xml:space="preserve">Buffer jadwal yang disarankan (hari) = jumlah dampak jadwal × peluang</t>
  </si>
  <si>
    <t xml:space="preserve">Anggaran total dengan konsep manajemen proyek (PMBOK: cost baseline + management reserve)</t>
  </si>
  <si>
    <t xml:space="preserve">Komponen anggaran</t>
  </si>
  <si>
    <t xml:space="preserve">Nilai</t>
  </si>
  <si>
    <t xml:space="preserve">Sumber</t>
  </si>
  <si>
    <t xml:space="preserve">Biaya dasar (estimasi bottom-up, termasuk cadangan komponen)</t>
  </si>
  <si>
    <t xml:space="preserve">Biaya dasar</t>
  </si>
  <si>
    <t xml:space="preserve">Cadangan risiko (contingency reserve) = Σ peluang × dampak dari daftar risiko</t>
  </si>
  <si>
    <t xml:space="preserve">Daftar risiko</t>
  </si>
  <si>
    <t xml:space="preserve">Cadangan risiko sebagai persen biaya dasar</t>
  </si>
  <si>
    <t xml:space="preserve">rumus</t>
  </si>
  <si>
    <t xml:space="preserve">COST BASELINE = biaya dasar + cadangan risiko</t>
  </si>
  <si>
    <t xml:space="preserve">Persen cadangan manajemen (risiko yang belum teridentifikasi)</t>
  </si>
  <si>
    <t xml:space="preserve">masukan</t>
  </si>
  <si>
    <t xml:space="preserve">Cadangan manajemen (management reserve) = persen × cost baseline</t>
  </si>
  <si>
    <t xml:space="preserve">ANGGARAN TOTAL YANG DIAJUKAN = cost baseline + cadangan manajemen</t>
  </si>
  <si>
    <t xml:space="preserve">Pembulatan ke atas (Rp100.000)</t>
  </si>
  <si>
    <t xml:space="preserve">Aturan pemakaian cadangan</t>
  </si>
  <si>
    <t xml:space="preserve">• Cadangan risiko dipakai ketua tim untuk risiko yang ada di daftar, dicatat tanggal, risiko, dan nominalnya di log proyek.</t>
  </si>
  <si>
    <t xml:space="preserve">• Cadangan manajemen hanya dipakai untuk kejadian di luar daftar risiko, dengan persetujuan pengusul/LPPM.</t>
  </si>
  <si>
    <t xml:space="preserve">• Sisa cadangan yang tidak terpakai dikembalikan atau dialihkan ke tahap lanjutan (meteran per rumah) dengan persetujuan pemberi dana.</t>
  </si>
  <si>
    <t xml:space="preserve">• Setiap akhir minggu, biaya aktual dibandingkan dengan cost baseline (earned value sederhana: rencana vs realisasi) untuk melihat apakah cadangan mulai terpakai.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</si>
</sst>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p&quot;#,##0;&quot;(Rp&quot;#,##0\);\-"/>
    <numFmt numFmtId="166" formatCode="0%"/>
    <numFmt numFmtId="167" formatCode="0"/>
    <numFmt numFmtId="168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B3B33"/>
        <bgColor rgb="FF003300"/>
      </patternFill>
    </fill>
    <fill>
      <patternFill patternType="solid">
        <fgColor rgb="FFE1F5EE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1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3B3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36"/>
    <col collapsed="false" customWidth="true" hidden="false" outlineLevel="0" max="4" min="4" style="0" width="8"/>
    <col collapsed="false" customWidth="true" hidden="false" outlineLevel="0" max="6" min="5" style="0" width="1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n">
        <v>1</v>
      </c>
      <c r="B5" s="4" t="s">
        <v>8</v>
      </c>
      <c r="C5" s="4" t="s">
        <v>9</v>
      </c>
      <c r="D5" s="5" t="n">
        <v>1</v>
      </c>
      <c r="E5" s="6" t="n">
        <v>1600000</v>
      </c>
      <c r="F5" s="7" t="n">
        <f aca="false">D5*E5</f>
        <v>1600000</v>
      </c>
    </row>
    <row r="6" customFormat="false" ht="26.85" hidden="false" customHeight="false" outlineLevel="0" collapsed="false">
      <c r="A6" s="4" t="n">
        <v>2</v>
      </c>
      <c r="B6" s="4" t="s">
        <v>10</v>
      </c>
      <c r="C6" s="4" t="s">
        <v>11</v>
      </c>
      <c r="D6" s="5" t="n">
        <v>1</v>
      </c>
      <c r="E6" s="6" t="n">
        <v>1050000</v>
      </c>
      <c r="F6" s="7" t="n">
        <f aca="false">D6*E6</f>
        <v>1050000</v>
      </c>
    </row>
    <row r="7" customFormat="false" ht="15" hidden="false" customHeight="false" outlineLevel="0" collapsed="false">
      <c r="A7" s="4" t="n">
        <v>3</v>
      </c>
      <c r="B7" s="4" t="s">
        <v>12</v>
      </c>
      <c r="C7" s="4" t="s">
        <v>13</v>
      </c>
      <c r="D7" s="5" t="n">
        <v>1</v>
      </c>
      <c r="E7" s="6" t="n">
        <v>200000</v>
      </c>
      <c r="F7" s="7" t="n">
        <f aca="false">D7*E7</f>
        <v>200000</v>
      </c>
    </row>
    <row r="8" customFormat="false" ht="15" hidden="false" customHeight="false" outlineLevel="0" collapsed="false">
      <c r="A8" s="4" t="n">
        <v>4</v>
      </c>
      <c r="B8" s="4" t="s">
        <v>14</v>
      </c>
      <c r="C8" s="4" t="s">
        <v>15</v>
      </c>
      <c r="D8" s="5" t="n">
        <v>1</v>
      </c>
      <c r="E8" s="6" t="n">
        <v>280000</v>
      </c>
      <c r="F8" s="7" t="n">
        <f aca="false">D8*E8</f>
        <v>280000</v>
      </c>
    </row>
    <row r="9" customFormat="false" ht="15" hidden="false" customHeight="false" outlineLevel="0" collapsed="false">
      <c r="A9" s="4" t="n">
        <v>5</v>
      </c>
      <c r="B9" s="4" t="s">
        <v>16</v>
      </c>
      <c r="C9" s="4"/>
      <c r="D9" s="5" t="n">
        <v>1</v>
      </c>
      <c r="E9" s="6" t="n">
        <v>200000</v>
      </c>
      <c r="F9" s="7" t="n">
        <f aca="false">D9*E9</f>
        <v>200000</v>
      </c>
    </row>
    <row r="10" customFormat="false" ht="15" hidden="false" customHeight="false" outlineLevel="0" collapsed="false">
      <c r="A10" s="4" t="n">
        <v>6</v>
      </c>
      <c r="B10" s="4" t="s">
        <v>17</v>
      </c>
      <c r="C10" s="4"/>
      <c r="D10" s="5" t="n">
        <v>1</v>
      </c>
      <c r="E10" s="6" t="n">
        <v>75000</v>
      </c>
      <c r="F10" s="7" t="n">
        <f aca="false">D10*E10</f>
        <v>75000</v>
      </c>
    </row>
    <row r="11" customFormat="false" ht="15" hidden="false" customHeight="false" outlineLevel="0" collapsed="false">
      <c r="A11" s="4" t="n">
        <v>7</v>
      </c>
      <c r="B11" s="4" t="s">
        <v>18</v>
      </c>
      <c r="C11" s="4"/>
      <c r="D11" s="5" t="n">
        <v>1</v>
      </c>
      <c r="E11" s="6" t="n">
        <v>500000</v>
      </c>
      <c r="F11" s="7" t="n">
        <f aca="false">D11*E11</f>
        <v>500000</v>
      </c>
    </row>
    <row r="12" customFormat="false" ht="15" hidden="false" customHeight="false" outlineLevel="0" collapsed="false">
      <c r="A12" s="4" t="n">
        <v>8</v>
      </c>
      <c r="B12" s="4" t="s">
        <v>19</v>
      </c>
      <c r="C12" s="4" t="s">
        <v>20</v>
      </c>
      <c r="D12" s="5" t="n">
        <v>1</v>
      </c>
      <c r="E12" s="6" t="n">
        <v>50000</v>
      </c>
      <c r="F12" s="7" t="n">
        <f aca="false">D12*E12</f>
        <v>50000</v>
      </c>
    </row>
    <row r="13" customFormat="false" ht="15" hidden="false" customHeight="false" outlineLevel="0" collapsed="false">
      <c r="A13" s="4" t="n">
        <v>9</v>
      </c>
      <c r="B13" s="4" t="s">
        <v>21</v>
      </c>
      <c r="C13" s="4"/>
      <c r="D13" s="5" t="n">
        <v>1</v>
      </c>
      <c r="E13" s="6" t="n">
        <v>85000</v>
      </c>
      <c r="F13" s="7" t="n">
        <f aca="false">D13*E13</f>
        <v>85000</v>
      </c>
    </row>
    <row r="14" customFormat="false" ht="15" hidden="false" customHeight="false" outlineLevel="0" collapsed="false">
      <c r="A14" s="4" t="n">
        <v>10</v>
      </c>
      <c r="B14" s="4" t="s">
        <v>22</v>
      </c>
      <c r="C14" s="4"/>
      <c r="D14" s="5" t="n">
        <v>1</v>
      </c>
      <c r="E14" s="6" t="n">
        <v>50000</v>
      </c>
      <c r="F14" s="7" t="n">
        <f aca="false">D14*E14</f>
        <v>50000</v>
      </c>
    </row>
    <row r="15" customFormat="false" ht="26.85" hidden="false" customHeight="false" outlineLevel="0" collapsed="false">
      <c r="A15" s="4" t="n">
        <v>11</v>
      </c>
      <c r="B15" s="4" t="s">
        <v>23</v>
      </c>
      <c r="C15" s="4" t="s">
        <v>24</v>
      </c>
      <c r="D15" s="5" t="n">
        <v>1</v>
      </c>
      <c r="E15" s="6" t="n">
        <v>390000</v>
      </c>
      <c r="F15" s="7" t="n">
        <f aca="false">D15*E15</f>
        <v>390000</v>
      </c>
    </row>
    <row r="16" customFormat="false" ht="15" hidden="false" customHeight="false" outlineLevel="0" collapsed="false">
      <c r="A16" s="4" t="n">
        <v>12</v>
      </c>
      <c r="B16" s="4" t="s">
        <v>25</v>
      </c>
      <c r="C16" s="4"/>
      <c r="D16" s="5" t="n">
        <v>1</v>
      </c>
      <c r="E16" s="6" t="n">
        <v>220000</v>
      </c>
      <c r="F16" s="7" t="n">
        <f aca="false">D16*E16</f>
        <v>220000</v>
      </c>
    </row>
    <row r="17" customFormat="false" ht="15" hidden="false" customHeight="false" outlineLevel="0" collapsed="false">
      <c r="A17" s="4" t="n">
        <v>13</v>
      </c>
      <c r="B17" s="4" t="s">
        <v>26</v>
      </c>
      <c r="C17" s="4" t="s">
        <v>27</v>
      </c>
      <c r="D17" s="5" t="n">
        <v>1</v>
      </c>
      <c r="E17" s="6" t="n">
        <v>250000</v>
      </c>
      <c r="F17" s="7" t="n">
        <f aca="false">D17*E17</f>
        <v>250000</v>
      </c>
    </row>
    <row r="18" customFormat="false" ht="15" hidden="false" customHeight="false" outlineLevel="0" collapsed="false">
      <c r="B18" s="8" t="s">
        <v>28</v>
      </c>
      <c r="F18" s="9" t="n">
        <f aca="false">SUM(F5:F17)</f>
        <v>4950000</v>
      </c>
    </row>
    <row r="20" customFormat="false" ht="39.55" hidden="false" customHeight="false" outlineLevel="0" collapsed="false">
      <c r="A20" s="8" t="s">
        <v>29</v>
      </c>
      <c r="B20" s="8" t="s">
        <v>30</v>
      </c>
      <c r="C20" s="8" t="s">
        <v>31</v>
      </c>
      <c r="D20" s="8" t="s">
        <v>32</v>
      </c>
      <c r="F20" s="8" t="s">
        <v>33</v>
      </c>
    </row>
    <row r="21" customFormat="false" ht="64.9" hidden="false" customHeight="false" outlineLevel="0" collapsed="false">
      <c r="A21" s="4" t="s">
        <v>34</v>
      </c>
      <c r="B21" s="4" t="s">
        <v>35</v>
      </c>
      <c r="C21" s="4" t="s">
        <v>36</v>
      </c>
      <c r="D21" s="6" t="n">
        <v>-50000</v>
      </c>
      <c r="F21" s="7" t="n">
        <f aca="false">'Biaya dasar'!F18+D21</f>
        <v>4900000</v>
      </c>
    </row>
    <row r="22" customFormat="false" ht="52.2" hidden="false" customHeight="false" outlineLevel="0" collapsed="false">
      <c r="A22" s="4" t="s">
        <v>37</v>
      </c>
      <c r="B22" s="4" t="s">
        <v>35</v>
      </c>
      <c r="C22" s="4" t="s">
        <v>38</v>
      </c>
      <c r="D22" s="6" t="n">
        <v>0</v>
      </c>
      <c r="F22" s="7" t="n">
        <f aca="false">'Biaya dasar'!F18+D22</f>
        <v>4950000</v>
      </c>
    </row>
    <row r="23" customFormat="false" ht="64.9" hidden="false" customHeight="false" outlineLevel="0" collapsed="false">
      <c r="A23" s="4" t="s">
        <v>39</v>
      </c>
      <c r="B23" s="4" t="s">
        <v>40</v>
      </c>
      <c r="C23" s="4" t="s">
        <v>38</v>
      </c>
      <c r="D23" s="6" t="n">
        <v>-1100000</v>
      </c>
      <c r="F23" s="7" t="n">
        <f aca="false">'Biaya dasar'!F18+D23</f>
        <v>3850000</v>
      </c>
    </row>
    <row r="24" customFormat="false" ht="52.2" hidden="false" customHeight="false" outlineLevel="0" collapsed="false">
      <c r="A24" s="4" t="s">
        <v>41</v>
      </c>
      <c r="B24" s="4" t="s">
        <v>35</v>
      </c>
      <c r="C24" s="4" t="s">
        <v>36</v>
      </c>
      <c r="D24" s="6" t="n">
        <v>-50000</v>
      </c>
      <c r="F24" s="7" t="n">
        <f aca="false">'Biaya dasar'!F18+D24</f>
        <v>4900000</v>
      </c>
    </row>
    <row r="25" customFormat="false" ht="64.9" hidden="false" customHeight="false" outlineLevel="0" collapsed="false">
      <c r="A25" s="4" t="s">
        <v>42</v>
      </c>
      <c r="B25" s="4" t="s">
        <v>35</v>
      </c>
      <c r="C25" s="4" t="s">
        <v>38</v>
      </c>
      <c r="D25" s="6" t="n">
        <v>0</v>
      </c>
      <c r="F25" s="7" t="n">
        <f aca="false">'Biaya dasar'!F18+D25</f>
        <v>4950000</v>
      </c>
    </row>
    <row r="26" customFormat="false" ht="39.55" hidden="false" customHeight="false" outlineLevel="0" collapsed="false">
      <c r="A26" s="8" t="s">
        <v>43</v>
      </c>
      <c r="F26" s="9" t="n">
        <f aca="false">SUM(F21:F25)</f>
        <v>23550000</v>
      </c>
    </row>
    <row r="27" customFormat="false" ht="102.95" hidden="false" customHeight="false" outlineLevel="0" collapsed="false">
      <c r="A27" s="4" t="s">
        <v>44</v>
      </c>
      <c r="B27" s="4" t="s">
        <v>45</v>
      </c>
      <c r="D27" s="5" t="n">
        <v>3</v>
      </c>
      <c r="E27" s="6" t="n">
        <v>1500000</v>
      </c>
      <c r="F27" s="7" t="n">
        <f aca="false">D27*E27</f>
        <v>4500000</v>
      </c>
    </row>
    <row r="28" customFormat="false" ht="77.6" hidden="false" customHeight="false" outlineLevel="0" collapsed="false">
      <c r="A28" s="4" t="s">
        <v>46</v>
      </c>
      <c r="B28" s="4" t="s">
        <v>47</v>
      </c>
      <c r="F28" s="7" t="n">
        <f aca="false">E8+E11+E10</f>
        <v>855000</v>
      </c>
    </row>
    <row r="29" customFormat="false" ht="90.25" hidden="false" customHeight="false" outlineLevel="0" collapsed="false">
      <c r="A29" s="8" t="s">
        <v>48</v>
      </c>
      <c r="F29" s="9" t="n">
        <f aca="false">'Biaya dasar'!F26+'Biaya dasar'!F27+'Biaya dasar'!F28</f>
        <v>28905000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30"/>
    <col collapsed="false" customWidth="true" hidden="false" outlineLevel="0" max="4" min="4" style="0" width="44"/>
    <col collapsed="false" customWidth="true" hidden="false" outlineLevel="0" max="5" min="5" style="0" width="9"/>
    <col collapsed="false" customWidth="true" hidden="false" outlineLevel="0" max="7" min="6" style="0" width="16"/>
    <col collapsed="false" customWidth="true" hidden="false" outlineLevel="0" max="8" min="8" style="0" width="11"/>
    <col collapsed="false" customWidth="true" hidden="false" outlineLevel="0" max="9" min="9" style="0" width="44"/>
  </cols>
  <sheetData>
    <row r="1" customFormat="false" ht="16.1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31.5" hidden="false" customHeight="true" outlineLevel="0" collapsed="false">
      <c r="A4" s="3" t="s">
        <v>51</v>
      </c>
      <c r="B4" s="3" t="s">
        <v>52</v>
      </c>
      <c r="C4" s="3" t="s">
        <v>53</v>
      </c>
      <c r="D4" s="3" t="s">
        <v>54</v>
      </c>
      <c r="E4" s="3" t="s">
        <v>55</v>
      </c>
      <c r="F4" s="3" t="s">
        <v>56</v>
      </c>
      <c r="G4" s="3" t="s">
        <v>57</v>
      </c>
      <c r="H4" s="3" t="s">
        <v>58</v>
      </c>
      <c r="I4" s="3" t="s">
        <v>59</v>
      </c>
    </row>
    <row r="5" customFormat="false" ht="39.55" hidden="false" customHeight="false" outlineLevel="0" collapsed="false">
      <c r="A5" s="4" t="s">
        <v>60</v>
      </c>
      <c r="B5" s="4" t="s">
        <v>61</v>
      </c>
      <c r="C5" s="4" t="s">
        <v>62</v>
      </c>
      <c r="D5" s="4" t="s">
        <v>63</v>
      </c>
      <c r="E5" s="10" t="n">
        <v>0.3</v>
      </c>
      <c r="F5" s="6" t="n">
        <v>1500000</v>
      </c>
      <c r="G5" s="7" t="n">
        <f aca="false">E5*F5</f>
        <v>450000</v>
      </c>
      <c r="H5" s="5" t="n">
        <v>14</v>
      </c>
      <c r="I5" s="4" t="s">
        <v>64</v>
      </c>
    </row>
    <row r="6" customFormat="false" ht="26.85" hidden="false" customHeight="false" outlineLevel="0" collapsed="false">
      <c r="A6" s="4" t="s">
        <v>65</v>
      </c>
      <c r="B6" s="4" t="s">
        <v>66</v>
      </c>
      <c r="C6" s="4" t="s">
        <v>67</v>
      </c>
      <c r="D6" s="4" t="s">
        <v>68</v>
      </c>
      <c r="E6" s="10" t="n">
        <v>0.25</v>
      </c>
      <c r="F6" s="6" t="n">
        <v>600000</v>
      </c>
      <c r="G6" s="7" t="n">
        <f aca="false">E6*F6</f>
        <v>150000</v>
      </c>
      <c r="H6" s="5" t="n">
        <v>5</v>
      </c>
      <c r="I6" s="4" t="s">
        <v>69</v>
      </c>
    </row>
    <row r="7" customFormat="false" ht="39.55" hidden="false" customHeight="false" outlineLevel="0" collapsed="false">
      <c r="A7" s="4" t="s">
        <v>70</v>
      </c>
      <c r="B7" s="4" t="s">
        <v>71</v>
      </c>
      <c r="C7" s="4" t="s">
        <v>72</v>
      </c>
      <c r="D7" s="4" t="s">
        <v>73</v>
      </c>
      <c r="E7" s="10" t="n">
        <v>0.4</v>
      </c>
      <c r="F7" s="6" t="n">
        <v>800000</v>
      </c>
      <c r="G7" s="7" t="n">
        <f aca="false">E7*F7</f>
        <v>320000</v>
      </c>
      <c r="H7" s="5" t="n">
        <v>1</v>
      </c>
      <c r="I7" s="4" t="s">
        <v>74</v>
      </c>
    </row>
    <row r="8" customFormat="false" ht="39.55" hidden="false" customHeight="false" outlineLevel="0" collapsed="false">
      <c r="A8" s="4" t="s">
        <v>75</v>
      </c>
      <c r="B8" s="4" t="s">
        <v>76</v>
      </c>
      <c r="C8" s="4" t="s">
        <v>77</v>
      </c>
      <c r="D8" s="4" t="s">
        <v>78</v>
      </c>
      <c r="E8" s="10" t="n">
        <v>0.3</v>
      </c>
      <c r="F8" s="6" t="n">
        <v>750000</v>
      </c>
      <c r="G8" s="7" t="n">
        <f aca="false">E8*F8</f>
        <v>225000</v>
      </c>
      <c r="H8" s="5" t="n">
        <v>3</v>
      </c>
      <c r="I8" s="4" t="s">
        <v>79</v>
      </c>
    </row>
    <row r="9" customFormat="false" ht="26.85" hidden="false" customHeight="false" outlineLevel="0" collapsed="false">
      <c r="A9" s="4" t="s">
        <v>80</v>
      </c>
      <c r="B9" s="4" t="s">
        <v>81</v>
      </c>
      <c r="C9" s="4" t="s">
        <v>82</v>
      </c>
      <c r="D9" s="4" t="s">
        <v>83</v>
      </c>
      <c r="E9" s="10" t="n">
        <v>0.4</v>
      </c>
      <c r="F9" s="6" t="n">
        <v>700000</v>
      </c>
      <c r="G9" s="7" t="n">
        <f aca="false">E9*F9</f>
        <v>280000</v>
      </c>
      <c r="H9" s="5" t="n">
        <v>7</v>
      </c>
      <c r="I9" s="4" t="s">
        <v>84</v>
      </c>
    </row>
    <row r="10" customFormat="false" ht="26.85" hidden="false" customHeight="false" outlineLevel="0" collapsed="false">
      <c r="A10" s="4" t="s">
        <v>85</v>
      </c>
      <c r="B10" s="4" t="s">
        <v>86</v>
      </c>
      <c r="C10" s="4" t="s">
        <v>87</v>
      </c>
      <c r="D10" s="4" t="s">
        <v>88</v>
      </c>
      <c r="E10" s="10" t="n">
        <v>0.2</v>
      </c>
      <c r="F10" s="6" t="n">
        <v>1200000</v>
      </c>
      <c r="G10" s="7" t="n">
        <f aca="false">E10*F10</f>
        <v>240000</v>
      </c>
      <c r="H10" s="5" t="n">
        <v>10</v>
      </c>
      <c r="I10" s="4" t="s">
        <v>89</v>
      </c>
    </row>
    <row r="11" customFormat="false" ht="26.85" hidden="false" customHeight="false" outlineLevel="0" collapsed="false">
      <c r="A11" s="4" t="s">
        <v>90</v>
      </c>
      <c r="B11" s="4" t="s">
        <v>91</v>
      </c>
      <c r="C11" s="4" t="s">
        <v>92</v>
      </c>
      <c r="D11" s="4" t="s">
        <v>93</v>
      </c>
      <c r="E11" s="10" t="n">
        <v>0.4</v>
      </c>
      <c r="F11" s="6" t="n">
        <v>1200000</v>
      </c>
      <c r="G11" s="7" t="n">
        <f aca="false">E11*F11</f>
        <v>480000</v>
      </c>
      <c r="H11" s="5" t="n">
        <v>0</v>
      </c>
      <c r="I11" s="4" t="s">
        <v>94</v>
      </c>
    </row>
    <row r="12" customFormat="false" ht="39.55" hidden="false" customHeight="false" outlineLevel="0" collapsed="false">
      <c r="A12" s="4" t="s">
        <v>95</v>
      </c>
      <c r="B12" s="4" t="s">
        <v>96</v>
      </c>
      <c r="C12" s="4" t="s">
        <v>97</v>
      </c>
      <c r="D12" s="4" t="s">
        <v>98</v>
      </c>
      <c r="E12" s="10" t="n">
        <v>0.25</v>
      </c>
      <c r="F12" s="6" t="n">
        <v>1500000</v>
      </c>
      <c r="G12" s="7" t="n">
        <f aca="false">E12*F12</f>
        <v>375000</v>
      </c>
      <c r="H12" s="5" t="n">
        <v>7</v>
      </c>
      <c r="I12" s="4" t="s">
        <v>99</v>
      </c>
    </row>
    <row r="13" customFormat="false" ht="26.85" hidden="false" customHeight="false" outlineLevel="0" collapsed="false">
      <c r="A13" s="4" t="s">
        <v>100</v>
      </c>
      <c r="B13" s="4" t="s">
        <v>101</v>
      </c>
      <c r="C13" s="4" t="s">
        <v>102</v>
      </c>
      <c r="D13" s="4" t="s">
        <v>103</v>
      </c>
      <c r="E13" s="10" t="n">
        <v>0.3</v>
      </c>
      <c r="F13" s="6" t="n">
        <v>500000</v>
      </c>
      <c r="G13" s="7" t="n">
        <f aca="false">E13*F13</f>
        <v>150000</v>
      </c>
      <c r="H13" s="5" t="n">
        <v>3</v>
      </c>
      <c r="I13" s="4" t="s">
        <v>104</v>
      </c>
    </row>
    <row r="14" customFormat="false" ht="26.85" hidden="false" customHeight="false" outlineLevel="0" collapsed="false">
      <c r="B14" s="8" t="s">
        <v>105</v>
      </c>
      <c r="G14" s="9" t="n">
        <f aca="false">SUM(G5:G13)</f>
        <v>2670000</v>
      </c>
    </row>
    <row r="15" customFormat="false" ht="15" hidden="false" customHeight="false" outlineLevel="0" collapsed="false">
      <c r="B15" s="4" t="s">
        <v>106</v>
      </c>
      <c r="F15" s="7" t="n">
        <f aca="false">SUM(F5:F13)</f>
        <v>8750000</v>
      </c>
    </row>
    <row r="16" customFormat="false" ht="26.85" hidden="false" customHeight="false" outlineLevel="0" collapsed="false">
      <c r="B16" s="4" t="s">
        <v>107</v>
      </c>
      <c r="H16" s="11" t="n">
        <f aca="false">SUMPRODUCT(E5:E13,H5:H13)</f>
        <v>14.2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20"/>
    <col collapsed="false" customWidth="true" hidden="false" outlineLevel="0" max="3" min="3" style="0" width="16"/>
  </cols>
  <sheetData>
    <row r="1" customFormat="false" ht="16.15" hidden="false" customHeight="false" outlineLevel="0" collapsed="false">
      <c r="A1" s="1" t="s">
        <v>108</v>
      </c>
    </row>
    <row r="4" customFormat="false" ht="15" hidden="false" customHeight="false" outlineLevel="0" collapsed="false">
      <c r="A4" s="3" t="s">
        <v>109</v>
      </c>
      <c r="B4" s="3" t="s">
        <v>110</v>
      </c>
      <c r="C4" s="3" t="s">
        <v>111</v>
      </c>
    </row>
    <row r="5" customFormat="false" ht="15" hidden="false" customHeight="false" outlineLevel="0" collapsed="false">
      <c r="A5" s="4" t="s">
        <v>112</v>
      </c>
      <c r="B5" s="7" t="n">
        <f aca="false">'Biaya dasar'!F29</f>
        <v>28905000</v>
      </c>
      <c r="C5" s="4" t="s">
        <v>113</v>
      </c>
    </row>
    <row r="6" customFormat="false" ht="15" hidden="false" customHeight="false" outlineLevel="0" collapsed="false">
      <c r="A6" s="4" t="s">
        <v>114</v>
      </c>
      <c r="B6" s="7" t="n">
        <f aca="false">'Daftar risiko'!G14</f>
        <v>2670000</v>
      </c>
      <c r="C6" s="4" t="s">
        <v>115</v>
      </c>
    </row>
    <row r="7" customFormat="false" ht="15" hidden="false" customHeight="false" outlineLevel="0" collapsed="false">
      <c r="A7" s="4" t="s">
        <v>116</v>
      </c>
      <c r="B7" s="12" t="n">
        <f aca="false">B6/B5</f>
        <v>0.0923715620134925</v>
      </c>
      <c r="C7" s="4" t="s">
        <v>117</v>
      </c>
    </row>
    <row r="8" customFormat="false" ht="15" hidden="false" customHeight="false" outlineLevel="0" collapsed="false">
      <c r="A8" s="8" t="s">
        <v>118</v>
      </c>
      <c r="B8" s="13" t="n">
        <f aca="false">B5+B6</f>
        <v>31575000</v>
      </c>
      <c r="C8" s="4" t="s">
        <v>117</v>
      </c>
    </row>
    <row r="9" customFormat="false" ht="15" hidden="false" customHeight="false" outlineLevel="0" collapsed="false">
      <c r="A9" s="4" t="s">
        <v>119</v>
      </c>
      <c r="B9" s="14" t="n">
        <v>0.05</v>
      </c>
      <c r="C9" s="4" t="s">
        <v>120</v>
      </c>
    </row>
    <row r="10" customFormat="false" ht="15" hidden="false" customHeight="false" outlineLevel="0" collapsed="false">
      <c r="A10" s="4" t="s">
        <v>121</v>
      </c>
      <c r="B10" s="7" t="n">
        <f aca="false">B9*B8</f>
        <v>1578750</v>
      </c>
      <c r="C10" s="4" t="s">
        <v>117</v>
      </c>
    </row>
    <row r="11" customFormat="false" ht="15" hidden="false" customHeight="false" outlineLevel="0" collapsed="false">
      <c r="A11" s="8" t="s">
        <v>122</v>
      </c>
      <c r="B11" s="13" t="n">
        <f aca="false">B8+B10</f>
        <v>33153750</v>
      </c>
      <c r="C11" s="4" t="s">
        <v>117</v>
      </c>
    </row>
    <row r="12" customFormat="false" ht="15" hidden="false" customHeight="false" outlineLevel="0" collapsed="false">
      <c r="A12" s="4" t="s">
        <v>123</v>
      </c>
      <c r="B12" s="7" t="n">
        <f aca="false">CEILING(B11,100000)</f>
        <v>33200000</v>
      </c>
      <c r="C12" s="4" t="s">
        <v>117</v>
      </c>
    </row>
    <row r="14" customFormat="false" ht="15" hidden="false" customHeight="false" outlineLevel="0" collapsed="false">
      <c r="A14" s="15" t="s">
        <v>124</v>
      </c>
    </row>
    <row r="15" customFormat="false" ht="26.85" hidden="false" customHeight="false" outlineLevel="0" collapsed="false">
      <c r="A15" s="16" t="s">
        <v>125</v>
      </c>
    </row>
    <row r="16" customFormat="false" ht="26.85" hidden="false" customHeight="false" outlineLevel="0" collapsed="false">
      <c r="A16" s="16" t="s">
        <v>126</v>
      </c>
    </row>
    <row r="17" customFormat="false" ht="26.85" hidden="false" customHeight="false" outlineLevel="0" collapsed="false">
      <c r="A17" s="16" t="s">
        <v>127</v>
      </c>
    </row>
    <row r="18" customFormat="false" ht="26.85" hidden="false" customHeight="false" outlineLevel="0" collapsed="false">
      <c r="A18" s="16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2026-10-18T00:14:49Z</dcterms:created>
  <dc:creator>openpyxl</dc:creator>
  <dc:description/>
  <dc:language>en-US</dc:language>
  <cp:lastModifiedBy/>
  <dcterms:modified xsi:type="dcterms:W3CDTF">2026-10-18T00:14:49Z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